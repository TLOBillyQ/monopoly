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eggitor\1_开发中\大富翁\策划案\"/>
    </mc:Choice>
  </mc:AlternateContent>
  <xr:revisionPtr revIDLastSave="0" documentId="13_ncr:1_{91E5FE8F-6709-445D-B49E-2FFA2D03A9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M3" i="1"/>
  <c r="L3" i="1"/>
  <c r="K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" i="1"/>
  <c r="J3" i="1"/>
  <c r="J47" i="1"/>
  <c r="G47" i="1"/>
  <c r="K47" i="1" s="1"/>
  <c r="J46" i="1"/>
  <c r="G46" i="1"/>
  <c r="K46" i="1" s="1"/>
  <c r="J45" i="1"/>
  <c r="G45" i="1"/>
  <c r="K45" i="1" s="1"/>
  <c r="J44" i="1"/>
  <c r="G44" i="1"/>
  <c r="K44" i="1" s="1"/>
  <c r="J43" i="1"/>
  <c r="G43" i="1"/>
  <c r="K43" i="1" s="1"/>
  <c r="J42" i="1"/>
  <c r="G42" i="1"/>
  <c r="K42" i="1" s="1"/>
  <c r="J41" i="1"/>
  <c r="G41" i="1"/>
  <c r="K41" i="1" s="1"/>
  <c r="J40" i="1"/>
  <c r="G40" i="1"/>
  <c r="K40" i="1" s="1"/>
  <c r="J39" i="1"/>
  <c r="G39" i="1"/>
  <c r="K39" i="1" s="1"/>
  <c r="J38" i="1"/>
  <c r="G38" i="1"/>
  <c r="K38" i="1" s="1"/>
  <c r="G37" i="1"/>
  <c r="H37" i="1" s="1"/>
  <c r="J37" i="1"/>
  <c r="H4" i="1"/>
  <c r="H6" i="1"/>
  <c r="H8" i="1"/>
  <c r="H9" i="1"/>
  <c r="H10" i="1"/>
  <c r="H16" i="1"/>
  <c r="H18" i="1"/>
  <c r="H20" i="1"/>
  <c r="H21" i="1"/>
  <c r="H22" i="1"/>
  <c r="H23" i="1"/>
  <c r="H27" i="1"/>
  <c r="H28" i="1"/>
  <c r="H29" i="1"/>
  <c r="H30" i="1"/>
  <c r="H32" i="1"/>
  <c r="H33" i="1"/>
  <c r="H34" i="1"/>
  <c r="H35" i="1"/>
  <c r="H3" i="1"/>
  <c r="H7" i="1" l="1"/>
  <c r="H47" i="1"/>
  <c r="H46" i="1"/>
  <c r="H45" i="1"/>
  <c r="H44" i="1"/>
  <c r="H43" i="1"/>
  <c r="H42" i="1"/>
  <c r="H41" i="1"/>
  <c r="H40" i="1"/>
  <c r="H39" i="1"/>
  <c r="H38" i="1"/>
  <c r="K37" i="1"/>
  <c r="L37" i="1"/>
  <c r="I37" i="1"/>
  <c r="M37" i="1" s="1"/>
  <c r="I22" i="1"/>
  <c r="I3" i="1"/>
  <c r="H13" i="1"/>
  <c r="H24" i="1"/>
  <c r="H15" i="1"/>
  <c r="I35" i="1"/>
  <c r="H36" i="1"/>
  <c r="I34" i="1"/>
  <c r="I29" i="1"/>
  <c r="I23" i="1"/>
  <c r="I10" i="1"/>
  <c r="I27" i="1"/>
  <c r="I18" i="1"/>
  <c r="H25" i="1"/>
  <c r="H19" i="1"/>
  <c r="H11" i="1"/>
  <c r="H12" i="1"/>
  <c r="H5" i="1"/>
  <c r="H31" i="1"/>
  <c r="H17" i="1"/>
  <c r="I30" i="1"/>
  <c r="I32" i="1"/>
  <c r="I16" i="1"/>
  <c r="I6" i="1"/>
  <c r="I21" i="1"/>
  <c r="I33" i="1"/>
  <c r="I20" i="1"/>
  <c r="I28" i="1"/>
  <c r="I8" i="1"/>
  <c r="I9" i="1"/>
  <c r="I4" i="1"/>
  <c r="H26" i="1"/>
  <c r="H14" i="1"/>
  <c r="I7" i="1"/>
  <c r="I13" i="1" l="1"/>
  <c r="I31" i="1"/>
  <c r="L47" i="1"/>
  <c r="I47" i="1"/>
  <c r="M47" i="1" s="1"/>
  <c r="L46" i="1"/>
  <c r="I46" i="1"/>
  <c r="M46" i="1" s="1"/>
  <c r="L45" i="1"/>
  <c r="I45" i="1"/>
  <c r="M45" i="1" s="1"/>
  <c r="L44" i="1"/>
  <c r="I44" i="1"/>
  <c r="M44" i="1" s="1"/>
  <c r="L43" i="1"/>
  <c r="I43" i="1"/>
  <c r="M43" i="1" s="1"/>
  <c r="L42" i="1"/>
  <c r="I42" i="1"/>
  <c r="M42" i="1" s="1"/>
  <c r="L41" i="1"/>
  <c r="I41" i="1"/>
  <c r="M41" i="1" s="1"/>
  <c r="L40" i="1"/>
  <c r="I40" i="1"/>
  <c r="M40" i="1" s="1"/>
  <c r="L39" i="1"/>
  <c r="I39" i="1"/>
  <c r="M39" i="1" s="1"/>
  <c r="L38" i="1"/>
  <c r="I38" i="1"/>
  <c r="M38" i="1" s="1"/>
  <c r="I15" i="1"/>
  <c r="I24" i="1"/>
  <c r="I36" i="1"/>
  <c r="I19" i="1"/>
  <c r="I5" i="1"/>
  <c r="I25" i="1"/>
  <c r="I17" i="1"/>
  <c r="I12" i="1"/>
  <c r="I11" i="1"/>
  <c r="I26" i="1"/>
  <c r="I14" i="1"/>
</calcChain>
</file>

<file path=xl/sharedStrings.xml><?xml version="1.0" encoding="utf-8"?>
<sst xmlns="http://schemas.openxmlformats.org/spreadsheetml/2006/main" count="198" uniqueCount="140">
  <si>
    <t>整数</t>
    <phoneticPr fontId="1" type="noConversion"/>
  </si>
  <si>
    <t>字符串</t>
    <phoneticPr fontId="1" type="noConversion"/>
  </si>
  <si>
    <t>地块id</t>
    <phoneticPr fontId="1" type="noConversion"/>
  </si>
  <si>
    <t>地块名称</t>
    <phoneticPr fontId="1" type="noConversion"/>
  </si>
  <si>
    <t>福州路</t>
    <phoneticPr fontId="1" type="noConversion"/>
  </si>
  <si>
    <t>台北路</t>
    <phoneticPr fontId="1" type="noConversion"/>
  </si>
  <si>
    <t>海口路</t>
    <phoneticPr fontId="1" type="noConversion"/>
  </si>
  <si>
    <t>广州路</t>
    <phoneticPr fontId="1" type="noConversion"/>
  </si>
  <si>
    <t>香港路</t>
    <phoneticPr fontId="1" type="noConversion"/>
  </si>
  <si>
    <t>澳门路</t>
    <phoneticPr fontId="1" type="noConversion"/>
  </si>
  <si>
    <t>南宁路</t>
    <phoneticPr fontId="1" type="noConversion"/>
  </si>
  <si>
    <t>贵阳路</t>
    <phoneticPr fontId="1" type="noConversion"/>
  </si>
  <si>
    <t>昆明路</t>
    <phoneticPr fontId="1" type="noConversion"/>
  </si>
  <si>
    <t>成都路</t>
    <phoneticPr fontId="1" type="noConversion"/>
  </si>
  <si>
    <t>西宁路</t>
    <phoneticPr fontId="1" type="noConversion"/>
  </si>
  <si>
    <t>拉萨路</t>
    <phoneticPr fontId="1" type="noConversion"/>
  </si>
  <si>
    <t>乌鲁木齐路</t>
    <phoneticPr fontId="1" type="noConversion"/>
  </si>
  <si>
    <t>兰州路</t>
    <phoneticPr fontId="1" type="noConversion"/>
  </si>
  <si>
    <t>呼和浩特路</t>
    <phoneticPr fontId="1" type="noConversion"/>
  </si>
  <si>
    <t>哈尔滨路</t>
    <phoneticPr fontId="1" type="noConversion"/>
  </si>
  <si>
    <t>长春路</t>
    <phoneticPr fontId="1" type="noConversion"/>
  </si>
  <si>
    <t>沈阳路</t>
    <phoneticPr fontId="1" type="noConversion"/>
  </si>
  <si>
    <t>石家庄路</t>
    <phoneticPr fontId="1" type="noConversion"/>
  </si>
  <si>
    <t>郑州路</t>
    <phoneticPr fontId="1" type="noConversion"/>
  </si>
  <si>
    <t>合肥路</t>
    <phoneticPr fontId="1" type="noConversion"/>
  </si>
  <si>
    <t>济南路</t>
    <phoneticPr fontId="1" type="noConversion"/>
  </si>
  <si>
    <t>南京路</t>
    <phoneticPr fontId="1" type="noConversion"/>
  </si>
  <si>
    <t>杭州路</t>
    <phoneticPr fontId="1" type="noConversion"/>
  </si>
  <si>
    <t>南昌路</t>
    <phoneticPr fontId="1" type="noConversion"/>
  </si>
  <si>
    <t>长沙路</t>
    <phoneticPr fontId="1" type="noConversion"/>
  </si>
  <si>
    <t>武汉路</t>
    <phoneticPr fontId="1" type="noConversion"/>
  </si>
  <si>
    <t>太原路</t>
    <phoneticPr fontId="1" type="noConversion"/>
  </si>
  <si>
    <t>西安路</t>
    <phoneticPr fontId="1" type="noConversion"/>
  </si>
  <si>
    <t>银川路</t>
    <phoneticPr fontId="1" type="noConversion"/>
  </si>
  <si>
    <t>重庆路</t>
    <phoneticPr fontId="1" type="noConversion"/>
  </si>
  <si>
    <t>天津路</t>
    <phoneticPr fontId="1" type="noConversion"/>
  </si>
  <si>
    <t>北京路</t>
    <phoneticPr fontId="1" type="noConversion"/>
  </si>
  <si>
    <t>上海路</t>
    <phoneticPr fontId="1" type="noConversion"/>
  </si>
  <si>
    <t>初始价格</t>
    <phoneticPr fontId="1" type="noConversion"/>
  </si>
  <si>
    <t>房屋价格</t>
    <phoneticPr fontId="1" type="noConversion"/>
  </si>
  <si>
    <t>别墅价格</t>
    <phoneticPr fontId="1" type="noConversion"/>
  </si>
  <si>
    <t>高楼价格</t>
    <phoneticPr fontId="1" type="noConversion"/>
  </si>
  <si>
    <t>初始租金</t>
    <phoneticPr fontId="1" type="noConversion"/>
  </si>
  <si>
    <t>房屋租金</t>
    <phoneticPr fontId="1" type="noConversion"/>
  </si>
  <si>
    <t>别墅租金</t>
    <phoneticPr fontId="1" type="noConversion"/>
  </si>
  <si>
    <t>高楼租金</t>
    <phoneticPr fontId="1" type="noConversion"/>
  </si>
  <si>
    <t>道路坐标</t>
    <phoneticPr fontId="1" type="noConversion"/>
  </si>
  <si>
    <t>建筑坐标</t>
    <phoneticPr fontId="1" type="noConversion"/>
  </si>
  <si>
    <t>数组</t>
    <phoneticPr fontId="1" type="noConversion"/>
  </si>
  <si>
    <t>地块类型</t>
    <phoneticPr fontId="1" type="noConversion"/>
  </si>
  <si>
    <t>地皮</t>
    <phoneticPr fontId="1" type="noConversion"/>
  </si>
  <si>
    <t>起点</t>
    <phoneticPr fontId="1" type="noConversion"/>
  </si>
  <si>
    <t>医院</t>
    <phoneticPr fontId="1" type="noConversion"/>
  </si>
  <si>
    <t>深山</t>
    <phoneticPr fontId="1" type="noConversion"/>
  </si>
  <si>
    <t>税务局</t>
    <phoneticPr fontId="1" type="noConversion"/>
  </si>
  <si>
    <t>黑市</t>
    <phoneticPr fontId="1" type="noConversion"/>
  </si>
  <si>
    <t>机会卡</t>
    <phoneticPr fontId="1" type="noConversion"/>
  </si>
  <si>
    <t>道具卡</t>
    <phoneticPr fontId="1" type="noConversion"/>
  </si>
  <si>
    <t>9,9</t>
    <phoneticPr fontId="1" type="noConversion"/>
  </si>
  <si>
    <t>1,9</t>
    <phoneticPr fontId="1" type="noConversion"/>
  </si>
  <si>
    <t>1,1</t>
    <phoneticPr fontId="1" type="noConversion"/>
  </si>
  <si>
    <t>9,1</t>
    <phoneticPr fontId="1" type="noConversion"/>
  </si>
  <si>
    <t>5,5</t>
    <phoneticPr fontId="1" type="noConversion"/>
  </si>
  <si>
    <t>5,1</t>
    <phoneticPr fontId="1" type="noConversion"/>
  </si>
  <si>
    <t>5,6</t>
    <phoneticPr fontId="1" type="noConversion"/>
  </si>
  <si>
    <t>8,5</t>
    <phoneticPr fontId="1" type="noConversion"/>
  </si>
  <si>
    <t>5,9</t>
    <phoneticPr fontId="1" type="noConversion"/>
  </si>
  <si>
    <t>1,5</t>
    <phoneticPr fontId="1" type="noConversion"/>
  </si>
  <si>
    <t>9,5</t>
    <phoneticPr fontId="1" type="noConversion"/>
  </si>
  <si>
    <t>9,8</t>
    <phoneticPr fontId="1" type="noConversion"/>
  </si>
  <si>
    <t>8,8</t>
    <phoneticPr fontId="1" type="noConversion"/>
  </si>
  <si>
    <t>9,7</t>
    <phoneticPr fontId="1" type="noConversion"/>
  </si>
  <si>
    <t>8,7</t>
    <phoneticPr fontId="1" type="noConversion"/>
  </si>
  <si>
    <t>9,6</t>
    <phoneticPr fontId="1" type="noConversion"/>
  </si>
  <si>
    <t>8,6</t>
    <phoneticPr fontId="1" type="noConversion"/>
  </si>
  <si>
    <t>9,4</t>
    <phoneticPr fontId="1" type="noConversion"/>
  </si>
  <si>
    <t>8,4</t>
    <phoneticPr fontId="1" type="noConversion"/>
  </si>
  <si>
    <t>9,3</t>
    <phoneticPr fontId="1" type="noConversion"/>
  </si>
  <si>
    <t>8,3</t>
    <phoneticPr fontId="1" type="noConversion"/>
  </si>
  <si>
    <t>9,2</t>
    <phoneticPr fontId="1" type="noConversion"/>
  </si>
  <si>
    <t>8,2</t>
    <phoneticPr fontId="1" type="noConversion"/>
  </si>
  <si>
    <t>8,1</t>
    <phoneticPr fontId="1" type="noConversion"/>
  </si>
  <si>
    <t>8,0</t>
    <phoneticPr fontId="1" type="noConversion"/>
  </si>
  <si>
    <t>7,1</t>
    <phoneticPr fontId="1" type="noConversion"/>
  </si>
  <si>
    <t>7,0</t>
    <phoneticPr fontId="1" type="noConversion"/>
  </si>
  <si>
    <t>6,1</t>
    <phoneticPr fontId="1" type="noConversion"/>
  </si>
  <si>
    <t>6,0</t>
    <phoneticPr fontId="1" type="noConversion"/>
  </si>
  <si>
    <t>4,1</t>
    <phoneticPr fontId="1" type="noConversion"/>
  </si>
  <si>
    <t>4,0</t>
    <phoneticPr fontId="1" type="noConversion"/>
  </si>
  <si>
    <t>3,1</t>
    <phoneticPr fontId="1" type="noConversion"/>
  </si>
  <si>
    <t>3,0</t>
    <phoneticPr fontId="1" type="noConversion"/>
  </si>
  <si>
    <t>2,1</t>
    <phoneticPr fontId="1" type="noConversion"/>
  </si>
  <si>
    <t>2,0</t>
    <phoneticPr fontId="1" type="noConversion"/>
  </si>
  <si>
    <t>1,2</t>
    <phoneticPr fontId="1" type="noConversion"/>
  </si>
  <si>
    <t>0,2</t>
    <phoneticPr fontId="1" type="noConversion"/>
  </si>
  <si>
    <t>1,3</t>
    <phoneticPr fontId="1" type="noConversion"/>
  </si>
  <si>
    <t>0,3</t>
    <phoneticPr fontId="1" type="noConversion"/>
  </si>
  <si>
    <t>1,4</t>
    <phoneticPr fontId="1" type="noConversion"/>
  </si>
  <si>
    <t>0,4</t>
    <phoneticPr fontId="1" type="noConversion"/>
  </si>
  <si>
    <t>1,6</t>
    <phoneticPr fontId="1" type="noConversion"/>
  </si>
  <si>
    <t>0,6</t>
    <phoneticPr fontId="1" type="noConversion"/>
  </si>
  <si>
    <t>1,7</t>
    <phoneticPr fontId="1" type="noConversion"/>
  </si>
  <si>
    <t>0,7</t>
    <phoneticPr fontId="1" type="noConversion"/>
  </si>
  <si>
    <t>1,8</t>
    <phoneticPr fontId="1" type="noConversion"/>
  </si>
  <si>
    <t>0,8</t>
    <phoneticPr fontId="1" type="noConversion"/>
  </si>
  <si>
    <t>2,9</t>
    <phoneticPr fontId="1" type="noConversion"/>
  </si>
  <si>
    <t>2,10</t>
    <phoneticPr fontId="1" type="noConversion"/>
  </si>
  <si>
    <t>3,9</t>
    <phoneticPr fontId="1" type="noConversion"/>
  </si>
  <si>
    <t>3,10</t>
    <phoneticPr fontId="1" type="noConversion"/>
  </si>
  <si>
    <t>4,9</t>
    <phoneticPr fontId="1" type="noConversion"/>
  </si>
  <si>
    <t>4,10</t>
    <phoneticPr fontId="1" type="noConversion"/>
  </si>
  <si>
    <t>6,9</t>
    <phoneticPr fontId="1" type="noConversion"/>
  </si>
  <si>
    <t>6,10</t>
    <phoneticPr fontId="1" type="noConversion"/>
  </si>
  <si>
    <t>7,9</t>
    <phoneticPr fontId="1" type="noConversion"/>
  </si>
  <si>
    <t>7,10</t>
    <phoneticPr fontId="1" type="noConversion"/>
  </si>
  <si>
    <t>8,9</t>
    <phoneticPr fontId="1" type="noConversion"/>
  </si>
  <si>
    <t>8,10</t>
    <phoneticPr fontId="1" type="noConversion"/>
  </si>
  <si>
    <t>5,2</t>
    <phoneticPr fontId="1" type="noConversion"/>
  </si>
  <si>
    <t>4,2</t>
    <phoneticPr fontId="1" type="noConversion"/>
  </si>
  <si>
    <t>5,3</t>
    <phoneticPr fontId="1" type="noConversion"/>
  </si>
  <si>
    <t>4,3</t>
    <phoneticPr fontId="1" type="noConversion"/>
  </si>
  <si>
    <t>4,4</t>
  </si>
  <si>
    <t>5,4</t>
    <phoneticPr fontId="1" type="noConversion"/>
  </si>
  <si>
    <t>4,5</t>
    <phoneticPr fontId="1" type="noConversion"/>
  </si>
  <si>
    <t>4,6</t>
    <phoneticPr fontId="1" type="noConversion"/>
  </si>
  <si>
    <t>3,5</t>
    <phoneticPr fontId="1" type="noConversion"/>
  </si>
  <si>
    <t>3,6</t>
    <phoneticPr fontId="1" type="noConversion"/>
  </si>
  <si>
    <t>2,5</t>
    <phoneticPr fontId="1" type="noConversion"/>
  </si>
  <si>
    <t>2,6</t>
    <phoneticPr fontId="1" type="noConversion"/>
  </si>
  <si>
    <t>7,5</t>
    <phoneticPr fontId="1" type="noConversion"/>
  </si>
  <si>
    <t>7,6</t>
    <phoneticPr fontId="1" type="noConversion"/>
  </si>
  <si>
    <t>6,5</t>
    <phoneticPr fontId="1" type="noConversion"/>
  </si>
  <si>
    <t>6,6</t>
    <phoneticPr fontId="1" type="noConversion"/>
  </si>
  <si>
    <t>5,7</t>
    <phoneticPr fontId="1" type="noConversion"/>
  </si>
  <si>
    <t>4,7</t>
    <phoneticPr fontId="1" type="noConversion"/>
  </si>
  <si>
    <t>5,8</t>
    <phoneticPr fontId="1" type="noConversion"/>
  </si>
  <si>
    <t>4,8</t>
    <phoneticPr fontId="1" type="noConversion"/>
  </si>
  <si>
    <t>9,0</t>
    <phoneticPr fontId="1" type="noConversion"/>
  </si>
  <si>
    <t>1,10</t>
    <phoneticPr fontId="1" type="noConversion"/>
  </si>
  <si>
    <t>0,1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</si>
</sst>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2"/>
      <color rgb="FF000000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2" fillId="3" borderId="1" xfId="0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0" fillId="0" borderId="1" xfId="0" applyBorder="1"/>
    <xf numFmtId="0" fontId="3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topLeftCell="A25" workbookViewId="0">
      <selection activeCell="H54" sqref="H54"/>
    </sheetView>
  </sheetViews>
  <sheetFormatPr defaultRowHeight="14.25" x14ac:dyDescent="0.2"/>
  <cols>
    <col min="2" max="3" width="11.25" customWidth="1"/>
    <col min="4" max="5" width="9" customWidth="1"/>
  </cols>
  <sheetData>
    <row r="1" spans="1:13" x14ac:dyDescent="0.2">
      <c r="A1" s="1" t="s">
        <v>2</v>
      </c>
      <c r="B1" s="1" t="s">
        <v>3</v>
      </c>
      <c r="C1" s="1" t="s">
        <v>49</v>
      </c>
      <c r="D1" s="1" t="s">
        <v>46</v>
      </c>
      <c r="E1" s="1" t="s">
        <v>47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2">
      <c r="A2" s="1" t="s">
        <v>0</v>
      </c>
      <c r="B2" s="1" t="s">
        <v>1</v>
      </c>
      <c r="C2" s="1" t="s">
        <v>1</v>
      </c>
      <c r="D2" s="1" t="s">
        <v>48</v>
      </c>
      <c r="E2" s="1" t="s">
        <v>48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</row>
    <row r="3" spans="1:13" x14ac:dyDescent="0.2">
      <c r="A3" s="1">
        <v>1</v>
      </c>
      <c r="B3" s="2" t="s">
        <v>4</v>
      </c>
      <c r="C3" s="2" t="s">
        <v>50</v>
      </c>
      <c r="D3" s="3" t="s">
        <v>69</v>
      </c>
      <c r="E3" s="3" t="s">
        <v>70</v>
      </c>
      <c r="F3" s="4">
        <v>1000</v>
      </c>
      <c r="G3" s="4">
        <f>F3</f>
        <v>1000</v>
      </c>
      <c r="H3" s="4">
        <f t="shared" ref="H3:I3" si="0">G3*2</f>
        <v>2000</v>
      </c>
      <c r="I3" s="4">
        <f t="shared" si="0"/>
        <v>4000</v>
      </c>
      <c r="J3" s="4">
        <f>F3*0.5</f>
        <v>500</v>
      </c>
      <c r="K3" s="4">
        <f>(F3+G3)*0.5</f>
        <v>1000</v>
      </c>
      <c r="L3" s="4">
        <f>(F3+G3+H3)*0.75</f>
        <v>3000</v>
      </c>
      <c r="M3" s="4">
        <f>F3+G3+H3+I3</f>
        <v>8000</v>
      </c>
    </row>
    <row r="4" spans="1:13" x14ac:dyDescent="0.2">
      <c r="A4" s="1">
        <v>2</v>
      </c>
      <c r="B4" s="2" t="s">
        <v>5</v>
      </c>
      <c r="C4" s="2" t="s">
        <v>50</v>
      </c>
      <c r="D4" s="3" t="s">
        <v>71</v>
      </c>
      <c r="E4" s="3" t="s">
        <v>72</v>
      </c>
      <c r="F4" s="4">
        <v>1050</v>
      </c>
      <c r="G4" s="4">
        <f t="shared" ref="G4:G36" si="1">F4</f>
        <v>1050</v>
      </c>
      <c r="H4" s="4">
        <f t="shared" ref="H4:I4" si="2">G4*2</f>
        <v>2100</v>
      </c>
      <c r="I4" s="4">
        <f t="shared" si="2"/>
        <v>4200</v>
      </c>
      <c r="J4" s="4">
        <f t="shared" ref="J4:J36" si="3">F4*0.5</f>
        <v>525</v>
      </c>
      <c r="K4" s="4">
        <f t="shared" ref="K4:K36" si="4">(F4+G4)*0.5</f>
        <v>1050</v>
      </c>
      <c r="L4" s="4">
        <f t="shared" ref="L4:L36" si="5">(F4+G4+H4)*0.75</f>
        <v>3150</v>
      </c>
      <c r="M4" s="4">
        <f t="shared" ref="M4:M36" si="6">F4+G4+H4+I4</f>
        <v>8400</v>
      </c>
    </row>
    <row r="5" spans="1:13" x14ac:dyDescent="0.2">
      <c r="A5" s="1">
        <v>3</v>
      </c>
      <c r="B5" s="2" t="s">
        <v>6</v>
      </c>
      <c r="C5" s="2" t="s">
        <v>50</v>
      </c>
      <c r="D5" s="3" t="s">
        <v>73</v>
      </c>
      <c r="E5" s="3" t="s">
        <v>74</v>
      </c>
      <c r="F5" s="4">
        <v>1100</v>
      </c>
      <c r="G5" s="4">
        <f t="shared" si="1"/>
        <v>1100</v>
      </c>
      <c r="H5" s="4">
        <f t="shared" ref="H5:I5" si="7">G5*2</f>
        <v>2200</v>
      </c>
      <c r="I5" s="4">
        <f t="shared" si="7"/>
        <v>4400</v>
      </c>
      <c r="J5" s="4">
        <f t="shared" si="3"/>
        <v>550</v>
      </c>
      <c r="K5" s="4">
        <f t="shared" si="4"/>
        <v>1100</v>
      </c>
      <c r="L5" s="4">
        <f t="shared" si="5"/>
        <v>3300</v>
      </c>
      <c r="M5" s="4">
        <f t="shared" si="6"/>
        <v>8800</v>
      </c>
    </row>
    <row r="6" spans="1:13" x14ac:dyDescent="0.2">
      <c r="A6" s="1">
        <v>4</v>
      </c>
      <c r="B6" s="2" t="s">
        <v>7</v>
      </c>
      <c r="C6" s="2" t="s">
        <v>50</v>
      </c>
      <c r="D6" s="3" t="s">
        <v>75</v>
      </c>
      <c r="E6" s="3" t="s">
        <v>76</v>
      </c>
      <c r="F6" s="4">
        <v>1150</v>
      </c>
      <c r="G6" s="4">
        <f t="shared" si="1"/>
        <v>1150</v>
      </c>
      <c r="H6" s="4">
        <f t="shared" ref="H6:I6" si="8">G6*2</f>
        <v>2300</v>
      </c>
      <c r="I6" s="4">
        <f t="shared" si="8"/>
        <v>4600</v>
      </c>
      <c r="J6" s="4">
        <f t="shared" si="3"/>
        <v>575</v>
      </c>
      <c r="K6" s="4">
        <f t="shared" si="4"/>
        <v>1150</v>
      </c>
      <c r="L6" s="4">
        <f t="shared" si="5"/>
        <v>3450</v>
      </c>
      <c r="M6" s="4">
        <f t="shared" si="6"/>
        <v>9200</v>
      </c>
    </row>
    <row r="7" spans="1:13" x14ac:dyDescent="0.2">
      <c r="A7" s="1">
        <v>5</v>
      </c>
      <c r="B7" s="2" t="s">
        <v>8</v>
      </c>
      <c r="C7" s="2" t="s">
        <v>50</v>
      </c>
      <c r="D7" s="3" t="s">
        <v>77</v>
      </c>
      <c r="E7" s="3" t="s">
        <v>78</v>
      </c>
      <c r="F7" s="4">
        <v>1200</v>
      </c>
      <c r="G7" s="4">
        <f t="shared" si="1"/>
        <v>1200</v>
      </c>
      <c r="H7" s="4">
        <f t="shared" ref="H7:I7" si="9">G7*2</f>
        <v>2400</v>
      </c>
      <c r="I7" s="4">
        <f t="shared" si="9"/>
        <v>4800</v>
      </c>
      <c r="J7" s="4">
        <f t="shared" si="3"/>
        <v>600</v>
      </c>
      <c r="K7" s="4">
        <f t="shared" si="4"/>
        <v>1200</v>
      </c>
      <c r="L7" s="4">
        <f t="shared" si="5"/>
        <v>3600</v>
      </c>
      <c r="M7" s="4">
        <f t="shared" si="6"/>
        <v>9600</v>
      </c>
    </row>
    <row r="8" spans="1:13" x14ac:dyDescent="0.2">
      <c r="A8" s="1">
        <v>6</v>
      </c>
      <c r="B8" s="2" t="s">
        <v>9</v>
      </c>
      <c r="C8" s="2" t="s">
        <v>50</v>
      </c>
      <c r="D8" s="3" t="s">
        <v>79</v>
      </c>
      <c r="E8" s="3" t="s">
        <v>80</v>
      </c>
      <c r="F8" s="4">
        <v>1250</v>
      </c>
      <c r="G8" s="4">
        <f t="shared" si="1"/>
        <v>1250</v>
      </c>
      <c r="H8" s="4">
        <f t="shared" ref="H8:I8" si="10">G8*2</f>
        <v>2500</v>
      </c>
      <c r="I8" s="4">
        <f t="shared" si="10"/>
        <v>5000</v>
      </c>
      <c r="J8" s="4">
        <f t="shared" si="3"/>
        <v>625</v>
      </c>
      <c r="K8" s="4">
        <f t="shared" si="4"/>
        <v>1250</v>
      </c>
      <c r="L8" s="4">
        <f t="shared" si="5"/>
        <v>3750</v>
      </c>
      <c r="M8" s="4">
        <f t="shared" si="6"/>
        <v>10000</v>
      </c>
    </row>
    <row r="9" spans="1:13" x14ac:dyDescent="0.2">
      <c r="A9" s="1">
        <v>7</v>
      </c>
      <c r="B9" s="2" t="s">
        <v>10</v>
      </c>
      <c r="C9" s="2" t="s">
        <v>50</v>
      </c>
      <c r="D9" s="3" t="s">
        <v>81</v>
      </c>
      <c r="E9" s="3" t="s">
        <v>82</v>
      </c>
      <c r="F9" s="4">
        <v>1300</v>
      </c>
      <c r="G9" s="4">
        <f t="shared" si="1"/>
        <v>1300</v>
      </c>
      <c r="H9" s="4">
        <f t="shared" ref="H9:I9" si="11">G9*2</f>
        <v>2600</v>
      </c>
      <c r="I9" s="4">
        <f t="shared" si="11"/>
        <v>5200</v>
      </c>
      <c r="J9" s="4">
        <f t="shared" si="3"/>
        <v>650</v>
      </c>
      <c r="K9" s="4">
        <f t="shared" si="4"/>
        <v>1300</v>
      </c>
      <c r="L9" s="4">
        <f t="shared" si="5"/>
        <v>3900</v>
      </c>
      <c r="M9" s="4">
        <f t="shared" si="6"/>
        <v>10400</v>
      </c>
    </row>
    <row r="10" spans="1:13" x14ac:dyDescent="0.2">
      <c r="A10" s="1">
        <v>8</v>
      </c>
      <c r="B10" s="2" t="s">
        <v>11</v>
      </c>
      <c r="C10" s="2" t="s">
        <v>50</v>
      </c>
      <c r="D10" s="3" t="s">
        <v>83</v>
      </c>
      <c r="E10" s="3" t="s">
        <v>84</v>
      </c>
      <c r="F10" s="4">
        <v>1350</v>
      </c>
      <c r="G10" s="4">
        <f t="shared" si="1"/>
        <v>1350</v>
      </c>
      <c r="H10" s="4">
        <f t="shared" ref="H10:I10" si="12">G10*2</f>
        <v>2700</v>
      </c>
      <c r="I10" s="4">
        <f t="shared" si="12"/>
        <v>5400</v>
      </c>
      <c r="J10" s="4">
        <f t="shared" si="3"/>
        <v>675</v>
      </c>
      <c r="K10" s="4">
        <f t="shared" si="4"/>
        <v>1350</v>
      </c>
      <c r="L10" s="4">
        <f t="shared" si="5"/>
        <v>4050</v>
      </c>
      <c r="M10" s="4">
        <f t="shared" si="6"/>
        <v>10800</v>
      </c>
    </row>
    <row r="11" spans="1:13" x14ac:dyDescent="0.2">
      <c r="A11" s="1">
        <v>9</v>
      </c>
      <c r="B11" s="2" t="s">
        <v>12</v>
      </c>
      <c r="C11" s="2" t="s">
        <v>50</v>
      </c>
      <c r="D11" s="3" t="s">
        <v>85</v>
      </c>
      <c r="E11" s="3" t="s">
        <v>86</v>
      </c>
      <c r="F11" s="4">
        <v>1500</v>
      </c>
      <c r="G11" s="4">
        <f t="shared" si="1"/>
        <v>1500</v>
      </c>
      <c r="H11" s="4">
        <f t="shared" ref="H11:I11" si="13">G11*2</f>
        <v>3000</v>
      </c>
      <c r="I11" s="4">
        <f t="shared" si="13"/>
        <v>6000</v>
      </c>
      <c r="J11" s="4">
        <f t="shared" si="3"/>
        <v>750</v>
      </c>
      <c r="K11" s="4">
        <f t="shared" si="4"/>
        <v>1500</v>
      </c>
      <c r="L11" s="4">
        <f t="shared" si="5"/>
        <v>4500</v>
      </c>
      <c r="M11" s="4">
        <f t="shared" si="6"/>
        <v>12000</v>
      </c>
    </row>
    <row r="12" spans="1:13" x14ac:dyDescent="0.2">
      <c r="A12" s="1">
        <v>10</v>
      </c>
      <c r="B12" s="2" t="s">
        <v>13</v>
      </c>
      <c r="C12" s="2" t="s">
        <v>50</v>
      </c>
      <c r="D12" s="3" t="s">
        <v>87</v>
      </c>
      <c r="E12" s="3" t="s">
        <v>88</v>
      </c>
      <c r="F12" s="4">
        <v>1600</v>
      </c>
      <c r="G12" s="4">
        <f t="shared" si="1"/>
        <v>1600</v>
      </c>
      <c r="H12" s="4">
        <f t="shared" ref="H12:I12" si="14">G12*2</f>
        <v>3200</v>
      </c>
      <c r="I12" s="4">
        <f t="shared" si="14"/>
        <v>6400</v>
      </c>
      <c r="J12" s="4">
        <f t="shared" si="3"/>
        <v>800</v>
      </c>
      <c r="K12" s="4">
        <f t="shared" si="4"/>
        <v>1600</v>
      </c>
      <c r="L12" s="4">
        <f t="shared" si="5"/>
        <v>4800</v>
      </c>
      <c r="M12" s="4">
        <f t="shared" si="6"/>
        <v>12800</v>
      </c>
    </row>
    <row r="13" spans="1:13" x14ac:dyDescent="0.2">
      <c r="A13" s="1">
        <v>11</v>
      </c>
      <c r="B13" s="2" t="s">
        <v>14</v>
      </c>
      <c r="C13" s="2" t="s">
        <v>50</v>
      </c>
      <c r="D13" s="3" t="s">
        <v>89</v>
      </c>
      <c r="E13" s="3" t="s">
        <v>90</v>
      </c>
      <c r="F13" s="4">
        <v>1700</v>
      </c>
      <c r="G13" s="4">
        <f t="shared" si="1"/>
        <v>1700</v>
      </c>
      <c r="H13" s="4">
        <f t="shared" ref="H13:I13" si="15">G13*2</f>
        <v>3400</v>
      </c>
      <c r="I13" s="4">
        <f t="shared" si="15"/>
        <v>6800</v>
      </c>
      <c r="J13" s="4">
        <f t="shared" si="3"/>
        <v>850</v>
      </c>
      <c r="K13" s="4">
        <f t="shared" si="4"/>
        <v>1700</v>
      </c>
      <c r="L13" s="4">
        <f t="shared" si="5"/>
        <v>5100</v>
      </c>
      <c r="M13" s="4">
        <f t="shared" si="6"/>
        <v>13600</v>
      </c>
    </row>
    <row r="14" spans="1:13" x14ac:dyDescent="0.2">
      <c r="A14" s="1">
        <v>12</v>
      </c>
      <c r="B14" s="2" t="s">
        <v>15</v>
      </c>
      <c r="C14" s="2" t="s">
        <v>50</v>
      </c>
      <c r="D14" s="3" t="s">
        <v>91</v>
      </c>
      <c r="E14" s="3" t="s">
        <v>92</v>
      </c>
      <c r="F14" s="4">
        <v>1800</v>
      </c>
      <c r="G14" s="4">
        <f t="shared" si="1"/>
        <v>1800</v>
      </c>
      <c r="H14" s="4">
        <f t="shared" ref="H14:I14" si="16">G14*2</f>
        <v>3600</v>
      </c>
      <c r="I14" s="4">
        <f t="shared" si="16"/>
        <v>7200</v>
      </c>
      <c r="J14" s="4">
        <f t="shared" si="3"/>
        <v>900</v>
      </c>
      <c r="K14" s="4">
        <f t="shared" si="4"/>
        <v>1800</v>
      </c>
      <c r="L14" s="4">
        <f t="shared" si="5"/>
        <v>5400</v>
      </c>
      <c r="M14" s="4">
        <f t="shared" si="6"/>
        <v>14400</v>
      </c>
    </row>
    <row r="15" spans="1:13" x14ac:dyDescent="0.2">
      <c r="A15" s="1">
        <v>13</v>
      </c>
      <c r="B15" s="2" t="s">
        <v>16</v>
      </c>
      <c r="C15" s="2" t="s">
        <v>50</v>
      </c>
      <c r="D15" s="3" t="s">
        <v>93</v>
      </c>
      <c r="E15" s="3" t="s">
        <v>94</v>
      </c>
      <c r="F15" s="4">
        <v>1900</v>
      </c>
      <c r="G15" s="4">
        <f t="shared" si="1"/>
        <v>1900</v>
      </c>
      <c r="H15" s="4">
        <f t="shared" ref="H15:I15" si="17">G15*2</f>
        <v>3800</v>
      </c>
      <c r="I15" s="4">
        <f t="shared" si="17"/>
        <v>7600</v>
      </c>
      <c r="J15" s="4">
        <f t="shared" si="3"/>
        <v>950</v>
      </c>
      <c r="K15" s="4">
        <f t="shared" si="4"/>
        <v>1900</v>
      </c>
      <c r="L15" s="4">
        <f t="shared" si="5"/>
        <v>5700</v>
      </c>
      <c r="M15" s="4">
        <f t="shared" si="6"/>
        <v>15200</v>
      </c>
    </row>
    <row r="16" spans="1:13" x14ac:dyDescent="0.2">
      <c r="A16" s="1">
        <v>14</v>
      </c>
      <c r="B16" s="2" t="s">
        <v>17</v>
      </c>
      <c r="C16" s="2" t="s">
        <v>50</v>
      </c>
      <c r="D16" s="3" t="s">
        <v>95</v>
      </c>
      <c r="E16" s="3" t="s">
        <v>96</v>
      </c>
      <c r="F16" s="4">
        <v>2000</v>
      </c>
      <c r="G16" s="4">
        <f t="shared" si="1"/>
        <v>2000</v>
      </c>
      <c r="H16" s="4">
        <f t="shared" ref="H16:I16" si="18">G16*2</f>
        <v>4000</v>
      </c>
      <c r="I16" s="4">
        <f t="shared" si="18"/>
        <v>8000</v>
      </c>
      <c r="J16" s="4">
        <f t="shared" si="3"/>
        <v>1000</v>
      </c>
      <c r="K16" s="4">
        <f t="shared" si="4"/>
        <v>2000</v>
      </c>
      <c r="L16" s="4">
        <f t="shared" si="5"/>
        <v>6000</v>
      </c>
      <c r="M16" s="4">
        <f t="shared" si="6"/>
        <v>16000</v>
      </c>
    </row>
    <row r="17" spans="1:13" x14ac:dyDescent="0.2">
      <c r="A17" s="1">
        <v>15</v>
      </c>
      <c r="B17" s="2" t="s">
        <v>18</v>
      </c>
      <c r="C17" s="2" t="s">
        <v>50</v>
      </c>
      <c r="D17" s="3" t="s">
        <v>97</v>
      </c>
      <c r="E17" s="3" t="s">
        <v>98</v>
      </c>
      <c r="F17" s="4">
        <v>2050</v>
      </c>
      <c r="G17" s="4">
        <f t="shared" si="1"/>
        <v>2050</v>
      </c>
      <c r="H17" s="4">
        <f t="shared" ref="H17:I17" si="19">G17*2</f>
        <v>4100</v>
      </c>
      <c r="I17" s="4">
        <f t="shared" si="19"/>
        <v>8200</v>
      </c>
      <c r="J17" s="4">
        <f t="shared" si="3"/>
        <v>1025</v>
      </c>
      <c r="K17" s="4">
        <f t="shared" si="4"/>
        <v>2050</v>
      </c>
      <c r="L17" s="4">
        <f t="shared" si="5"/>
        <v>6150</v>
      </c>
      <c r="M17" s="4">
        <f t="shared" si="6"/>
        <v>16400</v>
      </c>
    </row>
    <row r="18" spans="1:13" x14ac:dyDescent="0.2">
      <c r="A18" s="1">
        <v>16</v>
      </c>
      <c r="B18" s="2" t="s">
        <v>19</v>
      </c>
      <c r="C18" s="2" t="s">
        <v>50</v>
      </c>
      <c r="D18" s="3" t="s">
        <v>99</v>
      </c>
      <c r="E18" s="3" t="s">
        <v>100</v>
      </c>
      <c r="F18" s="4">
        <v>2100</v>
      </c>
      <c r="G18" s="4">
        <f t="shared" si="1"/>
        <v>2100</v>
      </c>
      <c r="H18" s="4">
        <f t="shared" ref="H18:I18" si="20">G18*2</f>
        <v>4200</v>
      </c>
      <c r="I18" s="4">
        <f t="shared" si="20"/>
        <v>8400</v>
      </c>
      <c r="J18" s="4">
        <f t="shared" si="3"/>
        <v>1050</v>
      </c>
      <c r="K18" s="4">
        <f t="shared" si="4"/>
        <v>2100</v>
      </c>
      <c r="L18" s="4">
        <f t="shared" si="5"/>
        <v>6300</v>
      </c>
      <c r="M18" s="4">
        <f t="shared" si="6"/>
        <v>16800</v>
      </c>
    </row>
    <row r="19" spans="1:13" x14ac:dyDescent="0.2">
      <c r="A19" s="1">
        <v>17</v>
      </c>
      <c r="B19" s="2" t="s">
        <v>20</v>
      </c>
      <c r="C19" s="2" t="s">
        <v>50</v>
      </c>
      <c r="D19" s="3" t="s">
        <v>101</v>
      </c>
      <c r="E19" s="3" t="s">
        <v>102</v>
      </c>
      <c r="F19" s="4">
        <v>2150</v>
      </c>
      <c r="G19" s="4">
        <f t="shared" si="1"/>
        <v>2150</v>
      </c>
      <c r="H19" s="4">
        <f t="shared" ref="H19:I19" si="21">G19*2</f>
        <v>4300</v>
      </c>
      <c r="I19" s="4">
        <f t="shared" si="21"/>
        <v>8600</v>
      </c>
      <c r="J19" s="4">
        <f t="shared" si="3"/>
        <v>1075</v>
      </c>
      <c r="K19" s="4">
        <f t="shared" si="4"/>
        <v>2150</v>
      </c>
      <c r="L19" s="4">
        <f t="shared" si="5"/>
        <v>6450</v>
      </c>
      <c r="M19" s="4">
        <f t="shared" si="6"/>
        <v>17200</v>
      </c>
    </row>
    <row r="20" spans="1:13" x14ac:dyDescent="0.2">
      <c r="A20" s="1">
        <v>18</v>
      </c>
      <c r="B20" s="2" t="s">
        <v>21</v>
      </c>
      <c r="C20" s="2" t="s">
        <v>50</v>
      </c>
      <c r="D20" s="3" t="s">
        <v>103</v>
      </c>
      <c r="E20" s="3" t="s">
        <v>104</v>
      </c>
      <c r="F20" s="4">
        <v>2200</v>
      </c>
      <c r="G20" s="4">
        <f t="shared" si="1"/>
        <v>2200</v>
      </c>
      <c r="H20" s="4">
        <f t="shared" ref="H20:I20" si="22">G20*2</f>
        <v>4400</v>
      </c>
      <c r="I20" s="4">
        <f t="shared" si="22"/>
        <v>8800</v>
      </c>
      <c r="J20" s="4">
        <f t="shared" si="3"/>
        <v>1100</v>
      </c>
      <c r="K20" s="4">
        <f t="shared" si="4"/>
        <v>2200</v>
      </c>
      <c r="L20" s="4">
        <f t="shared" si="5"/>
        <v>6600</v>
      </c>
      <c r="M20" s="4">
        <f t="shared" si="6"/>
        <v>17600</v>
      </c>
    </row>
    <row r="21" spans="1:13" x14ac:dyDescent="0.2">
      <c r="A21" s="1">
        <v>19</v>
      </c>
      <c r="B21" s="2" t="s">
        <v>22</v>
      </c>
      <c r="C21" s="2" t="s">
        <v>50</v>
      </c>
      <c r="D21" s="3" t="s">
        <v>105</v>
      </c>
      <c r="E21" s="3" t="s">
        <v>106</v>
      </c>
      <c r="F21" s="4">
        <v>2250</v>
      </c>
      <c r="G21" s="4">
        <f t="shared" si="1"/>
        <v>2250</v>
      </c>
      <c r="H21" s="4">
        <f t="shared" ref="H21:I21" si="23">G21*2</f>
        <v>4500</v>
      </c>
      <c r="I21" s="4">
        <f t="shared" si="23"/>
        <v>9000</v>
      </c>
      <c r="J21" s="4">
        <f t="shared" si="3"/>
        <v>1125</v>
      </c>
      <c r="K21" s="4">
        <f t="shared" si="4"/>
        <v>2250</v>
      </c>
      <c r="L21" s="4">
        <f t="shared" si="5"/>
        <v>6750</v>
      </c>
      <c r="M21" s="4">
        <f t="shared" si="6"/>
        <v>18000</v>
      </c>
    </row>
    <row r="22" spans="1:13" x14ac:dyDescent="0.2">
      <c r="A22" s="1">
        <v>20</v>
      </c>
      <c r="B22" s="2" t="s">
        <v>23</v>
      </c>
      <c r="C22" s="2" t="s">
        <v>50</v>
      </c>
      <c r="D22" s="3" t="s">
        <v>107</v>
      </c>
      <c r="E22" s="3" t="s">
        <v>108</v>
      </c>
      <c r="F22" s="4">
        <v>2300</v>
      </c>
      <c r="G22" s="4">
        <f t="shared" si="1"/>
        <v>2300</v>
      </c>
      <c r="H22" s="4">
        <f t="shared" ref="H22:I22" si="24">G22*2</f>
        <v>4600</v>
      </c>
      <c r="I22" s="4">
        <f t="shared" si="24"/>
        <v>9200</v>
      </c>
      <c r="J22" s="4">
        <f t="shared" si="3"/>
        <v>1150</v>
      </c>
      <c r="K22" s="4">
        <f t="shared" si="4"/>
        <v>2300</v>
      </c>
      <c r="L22" s="4">
        <f t="shared" si="5"/>
        <v>6900</v>
      </c>
      <c r="M22" s="4">
        <f t="shared" si="6"/>
        <v>18400</v>
      </c>
    </row>
    <row r="23" spans="1:13" x14ac:dyDescent="0.2">
      <c r="A23" s="1">
        <v>21</v>
      </c>
      <c r="B23" s="2" t="s">
        <v>24</v>
      </c>
      <c r="C23" s="2" t="s">
        <v>50</v>
      </c>
      <c r="D23" s="3" t="s">
        <v>109</v>
      </c>
      <c r="E23" s="3" t="s">
        <v>110</v>
      </c>
      <c r="F23" s="4">
        <v>2350</v>
      </c>
      <c r="G23" s="4">
        <f t="shared" si="1"/>
        <v>2350</v>
      </c>
      <c r="H23" s="4">
        <f t="shared" ref="H23:I23" si="25">G23*2</f>
        <v>4700</v>
      </c>
      <c r="I23" s="4">
        <f t="shared" si="25"/>
        <v>9400</v>
      </c>
      <c r="J23" s="4">
        <f t="shared" si="3"/>
        <v>1175</v>
      </c>
      <c r="K23" s="4">
        <f t="shared" si="4"/>
        <v>2350</v>
      </c>
      <c r="L23" s="4">
        <f t="shared" si="5"/>
        <v>7050</v>
      </c>
      <c r="M23" s="4">
        <f t="shared" si="6"/>
        <v>18800</v>
      </c>
    </row>
    <row r="24" spans="1:13" x14ac:dyDescent="0.2">
      <c r="A24" s="1">
        <v>22</v>
      </c>
      <c r="B24" s="2" t="s">
        <v>25</v>
      </c>
      <c r="C24" s="2" t="s">
        <v>50</v>
      </c>
      <c r="D24" s="3" t="s">
        <v>111</v>
      </c>
      <c r="E24" s="3" t="s">
        <v>112</v>
      </c>
      <c r="F24" s="4">
        <v>2400</v>
      </c>
      <c r="G24" s="4">
        <f t="shared" si="1"/>
        <v>2400</v>
      </c>
      <c r="H24" s="4">
        <f t="shared" ref="H24:I24" si="26">G24*2</f>
        <v>4800</v>
      </c>
      <c r="I24" s="4">
        <f t="shared" si="26"/>
        <v>9600</v>
      </c>
      <c r="J24" s="4">
        <f t="shared" si="3"/>
        <v>1200</v>
      </c>
      <c r="K24" s="4">
        <f t="shared" si="4"/>
        <v>2400</v>
      </c>
      <c r="L24" s="4">
        <f t="shared" si="5"/>
        <v>7200</v>
      </c>
      <c r="M24" s="4">
        <f t="shared" si="6"/>
        <v>19200</v>
      </c>
    </row>
    <row r="25" spans="1:13" x14ac:dyDescent="0.2">
      <c r="A25" s="1">
        <v>23</v>
      </c>
      <c r="B25" s="2" t="s">
        <v>26</v>
      </c>
      <c r="C25" s="2" t="s">
        <v>50</v>
      </c>
      <c r="D25" s="3" t="s">
        <v>113</v>
      </c>
      <c r="E25" s="3" t="s">
        <v>114</v>
      </c>
      <c r="F25" s="4">
        <v>2450</v>
      </c>
      <c r="G25" s="4">
        <f t="shared" si="1"/>
        <v>2450</v>
      </c>
      <c r="H25" s="4">
        <f t="shared" ref="H25:I25" si="27">G25*2</f>
        <v>4900</v>
      </c>
      <c r="I25" s="4">
        <f t="shared" si="27"/>
        <v>9800</v>
      </c>
      <c r="J25" s="4">
        <f t="shared" si="3"/>
        <v>1225</v>
      </c>
      <c r="K25" s="4">
        <f t="shared" si="4"/>
        <v>2450</v>
      </c>
      <c r="L25" s="4">
        <f t="shared" si="5"/>
        <v>7350</v>
      </c>
      <c r="M25" s="4">
        <f t="shared" si="6"/>
        <v>19600</v>
      </c>
    </row>
    <row r="26" spans="1:13" ht="15.75" x14ac:dyDescent="0.25">
      <c r="A26" s="1">
        <v>24</v>
      </c>
      <c r="B26" s="5" t="s">
        <v>27</v>
      </c>
      <c r="C26" s="2" t="s">
        <v>50</v>
      </c>
      <c r="D26" s="3" t="s">
        <v>115</v>
      </c>
      <c r="E26" s="3" t="s">
        <v>116</v>
      </c>
      <c r="F26" s="4">
        <v>2500</v>
      </c>
      <c r="G26" s="4">
        <f t="shared" si="1"/>
        <v>2500</v>
      </c>
      <c r="H26" s="4">
        <f t="shared" ref="H26:I26" si="28">G26*2</f>
        <v>5000</v>
      </c>
      <c r="I26" s="4">
        <f t="shared" si="28"/>
        <v>10000</v>
      </c>
      <c r="J26" s="4">
        <f t="shared" si="3"/>
        <v>1250</v>
      </c>
      <c r="K26" s="4">
        <f t="shared" si="4"/>
        <v>2500</v>
      </c>
      <c r="L26" s="4">
        <f t="shared" si="5"/>
        <v>7500</v>
      </c>
      <c r="M26" s="4">
        <f t="shared" si="6"/>
        <v>20000</v>
      </c>
    </row>
    <row r="27" spans="1:13" x14ac:dyDescent="0.2">
      <c r="A27" s="1">
        <v>25</v>
      </c>
      <c r="B27" s="2" t="s">
        <v>28</v>
      </c>
      <c r="C27" s="2" t="s">
        <v>50</v>
      </c>
      <c r="D27" s="3" t="s">
        <v>117</v>
      </c>
      <c r="E27" s="3" t="s">
        <v>118</v>
      </c>
      <c r="F27" s="4">
        <v>1450</v>
      </c>
      <c r="G27" s="4">
        <f t="shared" si="1"/>
        <v>1450</v>
      </c>
      <c r="H27" s="4">
        <f t="shared" ref="H27:I27" si="29">G27*2</f>
        <v>2900</v>
      </c>
      <c r="I27" s="4">
        <f t="shared" si="29"/>
        <v>5800</v>
      </c>
      <c r="J27" s="4">
        <f t="shared" si="3"/>
        <v>725</v>
      </c>
      <c r="K27" s="4">
        <f t="shared" si="4"/>
        <v>1450</v>
      </c>
      <c r="L27" s="4">
        <f t="shared" si="5"/>
        <v>4350</v>
      </c>
      <c r="M27" s="4">
        <f t="shared" si="6"/>
        <v>11600</v>
      </c>
    </row>
    <row r="28" spans="1:13" x14ac:dyDescent="0.2">
      <c r="A28" s="1">
        <v>26</v>
      </c>
      <c r="B28" s="2" t="s">
        <v>29</v>
      </c>
      <c r="C28" s="2" t="s">
        <v>50</v>
      </c>
      <c r="D28" s="3" t="s">
        <v>119</v>
      </c>
      <c r="E28" s="3" t="s">
        <v>120</v>
      </c>
      <c r="F28" s="4">
        <v>1550</v>
      </c>
      <c r="G28" s="4">
        <f t="shared" si="1"/>
        <v>1550</v>
      </c>
      <c r="H28" s="4">
        <f t="shared" ref="H28:I28" si="30">G28*2</f>
        <v>3100</v>
      </c>
      <c r="I28" s="4">
        <f t="shared" si="30"/>
        <v>6200</v>
      </c>
      <c r="J28" s="4">
        <f t="shared" si="3"/>
        <v>775</v>
      </c>
      <c r="K28" s="4">
        <f t="shared" si="4"/>
        <v>1550</v>
      </c>
      <c r="L28" s="4">
        <f t="shared" si="5"/>
        <v>4650</v>
      </c>
      <c r="M28" s="4">
        <f t="shared" si="6"/>
        <v>12400</v>
      </c>
    </row>
    <row r="29" spans="1:13" x14ac:dyDescent="0.2">
      <c r="A29" s="1">
        <v>27</v>
      </c>
      <c r="B29" s="2" t="s">
        <v>30</v>
      </c>
      <c r="C29" s="2" t="s">
        <v>50</v>
      </c>
      <c r="D29" s="3" t="s">
        <v>122</v>
      </c>
      <c r="E29" s="3" t="s">
        <v>121</v>
      </c>
      <c r="F29" s="4">
        <v>1650</v>
      </c>
      <c r="G29" s="4">
        <f t="shared" si="1"/>
        <v>1650</v>
      </c>
      <c r="H29" s="4">
        <f t="shared" ref="H29:I29" si="31">G29*2</f>
        <v>3300</v>
      </c>
      <c r="I29" s="4">
        <f t="shared" si="31"/>
        <v>6600</v>
      </c>
      <c r="J29" s="4">
        <f t="shared" si="3"/>
        <v>825</v>
      </c>
      <c r="K29" s="4">
        <f t="shared" si="4"/>
        <v>1650</v>
      </c>
      <c r="L29" s="4">
        <f t="shared" si="5"/>
        <v>4950</v>
      </c>
      <c r="M29" s="4">
        <f t="shared" si="6"/>
        <v>13200</v>
      </c>
    </row>
    <row r="30" spans="1:13" x14ac:dyDescent="0.2">
      <c r="A30" s="1">
        <v>28</v>
      </c>
      <c r="B30" s="2" t="s">
        <v>31</v>
      </c>
      <c r="C30" s="2" t="s">
        <v>50</v>
      </c>
      <c r="D30" s="3" t="s">
        <v>123</v>
      </c>
      <c r="E30" s="3" t="s">
        <v>124</v>
      </c>
      <c r="F30" s="4">
        <v>1750</v>
      </c>
      <c r="G30" s="4">
        <f t="shared" si="1"/>
        <v>1750</v>
      </c>
      <c r="H30" s="4">
        <f t="shared" ref="H30:I30" si="32">G30*2</f>
        <v>3500</v>
      </c>
      <c r="I30" s="4">
        <f t="shared" si="32"/>
        <v>7000</v>
      </c>
      <c r="J30" s="4">
        <f t="shared" si="3"/>
        <v>875</v>
      </c>
      <c r="K30" s="4">
        <f t="shared" si="4"/>
        <v>1750</v>
      </c>
      <c r="L30" s="4">
        <f t="shared" si="5"/>
        <v>5250</v>
      </c>
      <c r="M30" s="4">
        <f t="shared" si="6"/>
        <v>14000</v>
      </c>
    </row>
    <row r="31" spans="1:13" x14ac:dyDescent="0.2">
      <c r="A31" s="1">
        <v>29</v>
      </c>
      <c r="B31" s="2" t="s">
        <v>32</v>
      </c>
      <c r="C31" s="2" t="s">
        <v>50</v>
      </c>
      <c r="D31" s="3" t="s">
        <v>125</v>
      </c>
      <c r="E31" s="3" t="s">
        <v>126</v>
      </c>
      <c r="F31" s="4">
        <v>1850</v>
      </c>
      <c r="G31" s="4">
        <f t="shared" si="1"/>
        <v>1850</v>
      </c>
      <c r="H31" s="4">
        <f t="shared" ref="H31:I31" si="33">G31*2</f>
        <v>3700</v>
      </c>
      <c r="I31" s="4">
        <f t="shared" si="33"/>
        <v>7400</v>
      </c>
      <c r="J31" s="4">
        <f t="shared" si="3"/>
        <v>925</v>
      </c>
      <c r="K31" s="4">
        <f t="shared" si="4"/>
        <v>1850</v>
      </c>
      <c r="L31" s="4">
        <f t="shared" si="5"/>
        <v>5550</v>
      </c>
      <c r="M31" s="4">
        <f t="shared" si="6"/>
        <v>14800</v>
      </c>
    </row>
    <row r="32" spans="1:13" x14ac:dyDescent="0.2">
      <c r="A32" s="1">
        <v>30</v>
      </c>
      <c r="B32" s="2" t="s">
        <v>33</v>
      </c>
      <c r="C32" s="2" t="s">
        <v>50</v>
      </c>
      <c r="D32" s="3" t="s">
        <v>127</v>
      </c>
      <c r="E32" s="3" t="s">
        <v>128</v>
      </c>
      <c r="F32" s="4">
        <v>1950</v>
      </c>
      <c r="G32" s="4">
        <f t="shared" si="1"/>
        <v>1950</v>
      </c>
      <c r="H32" s="4">
        <f t="shared" ref="H32:I32" si="34">G32*2</f>
        <v>3900</v>
      </c>
      <c r="I32" s="4">
        <f t="shared" si="34"/>
        <v>7800</v>
      </c>
      <c r="J32" s="4">
        <f t="shared" si="3"/>
        <v>975</v>
      </c>
      <c r="K32" s="4">
        <f t="shared" si="4"/>
        <v>1950</v>
      </c>
      <c r="L32" s="4">
        <f t="shared" si="5"/>
        <v>5850</v>
      </c>
      <c r="M32" s="4">
        <f t="shared" si="6"/>
        <v>15600</v>
      </c>
    </row>
    <row r="33" spans="1:13" x14ac:dyDescent="0.2">
      <c r="A33" s="1">
        <v>31</v>
      </c>
      <c r="B33" s="2" t="s">
        <v>34</v>
      </c>
      <c r="C33" s="2" t="s">
        <v>50</v>
      </c>
      <c r="D33" s="3" t="s">
        <v>129</v>
      </c>
      <c r="E33" s="3" t="s">
        <v>130</v>
      </c>
      <c r="F33" s="4">
        <v>3500</v>
      </c>
      <c r="G33" s="4">
        <f t="shared" si="1"/>
        <v>3500</v>
      </c>
      <c r="H33" s="4">
        <f t="shared" ref="H33:I33" si="35">G33*2</f>
        <v>7000</v>
      </c>
      <c r="I33" s="4">
        <f t="shared" si="35"/>
        <v>14000</v>
      </c>
      <c r="J33" s="4">
        <f t="shared" si="3"/>
        <v>1750</v>
      </c>
      <c r="K33" s="4">
        <f t="shared" si="4"/>
        <v>3500</v>
      </c>
      <c r="L33" s="4">
        <f t="shared" si="5"/>
        <v>10500</v>
      </c>
      <c r="M33" s="4">
        <f t="shared" si="6"/>
        <v>28000</v>
      </c>
    </row>
    <row r="34" spans="1:13" x14ac:dyDescent="0.2">
      <c r="A34" s="1">
        <v>32</v>
      </c>
      <c r="B34" s="2" t="s">
        <v>35</v>
      </c>
      <c r="C34" s="2" t="s">
        <v>50</v>
      </c>
      <c r="D34" s="3" t="s">
        <v>131</v>
      </c>
      <c r="E34" s="3" t="s">
        <v>132</v>
      </c>
      <c r="F34" s="4">
        <v>4000</v>
      </c>
      <c r="G34" s="4">
        <f t="shared" si="1"/>
        <v>4000</v>
      </c>
      <c r="H34" s="4">
        <f t="shared" ref="H34:I34" si="36">G34*2</f>
        <v>8000</v>
      </c>
      <c r="I34" s="4">
        <f t="shared" si="36"/>
        <v>16000</v>
      </c>
      <c r="J34" s="4">
        <f t="shared" si="3"/>
        <v>2000</v>
      </c>
      <c r="K34" s="4">
        <f t="shared" si="4"/>
        <v>4000</v>
      </c>
      <c r="L34" s="4">
        <f t="shared" si="5"/>
        <v>12000</v>
      </c>
      <c r="M34" s="4">
        <f t="shared" si="6"/>
        <v>32000</v>
      </c>
    </row>
    <row r="35" spans="1:13" x14ac:dyDescent="0.2">
      <c r="A35" s="1">
        <v>33</v>
      </c>
      <c r="B35" s="2" t="s">
        <v>36</v>
      </c>
      <c r="C35" s="2" t="s">
        <v>50</v>
      </c>
      <c r="D35" s="3" t="s">
        <v>133</v>
      </c>
      <c r="E35" s="3" t="s">
        <v>134</v>
      </c>
      <c r="F35" s="4">
        <v>4500</v>
      </c>
      <c r="G35" s="4">
        <f t="shared" si="1"/>
        <v>4500</v>
      </c>
      <c r="H35" s="4">
        <f t="shared" ref="H35:I35" si="37">G35*2</f>
        <v>9000</v>
      </c>
      <c r="I35" s="4">
        <f t="shared" si="37"/>
        <v>18000</v>
      </c>
      <c r="J35" s="4">
        <f t="shared" si="3"/>
        <v>2250</v>
      </c>
      <c r="K35" s="4">
        <f t="shared" si="4"/>
        <v>4500</v>
      </c>
      <c r="L35" s="4">
        <f t="shared" si="5"/>
        <v>13500</v>
      </c>
      <c r="M35" s="4">
        <f t="shared" si="6"/>
        <v>36000</v>
      </c>
    </row>
    <row r="36" spans="1:13" x14ac:dyDescent="0.2">
      <c r="A36" s="1">
        <v>34</v>
      </c>
      <c r="B36" s="2" t="s">
        <v>37</v>
      </c>
      <c r="C36" s="2" t="s">
        <v>50</v>
      </c>
      <c r="D36" s="3" t="s">
        <v>135</v>
      </c>
      <c r="E36" s="3" t="s">
        <v>136</v>
      </c>
      <c r="F36" s="4">
        <v>5000</v>
      </c>
      <c r="G36" s="4">
        <f t="shared" si="1"/>
        <v>5000</v>
      </c>
      <c r="H36" s="4">
        <f t="shared" ref="H36:I36" si="38">G36*2</f>
        <v>10000</v>
      </c>
      <c r="I36" s="4">
        <f t="shared" si="38"/>
        <v>20000</v>
      </c>
      <c r="J36" s="4">
        <f t="shared" si="3"/>
        <v>2500</v>
      </c>
      <c r="K36" s="4">
        <f t="shared" si="4"/>
        <v>5000</v>
      </c>
      <c r="L36" s="4">
        <f t="shared" si="5"/>
        <v>15000</v>
      </c>
      <c r="M36" s="4">
        <f t="shared" si="6"/>
        <v>40000</v>
      </c>
    </row>
    <row r="37" spans="1:13" x14ac:dyDescent="0.2">
      <c r="A37" s="1">
        <v>35</v>
      </c>
      <c r="B37" s="6" t="s">
        <v>51</v>
      </c>
      <c r="C37" s="6" t="s">
        <v>51</v>
      </c>
      <c r="D37" s="3" t="s">
        <v>58</v>
      </c>
      <c r="E37" s="3"/>
      <c r="F37" s="4">
        <v>0</v>
      </c>
      <c r="G37" s="4">
        <f t="shared" ref="G37:I47" si="39">F37*2</f>
        <v>0</v>
      </c>
      <c r="H37" s="4">
        <f t="shared" si="39"/>
        <v>0</v>
      </c>
      <c r="I37" s="4">
        <f t="shared" si="39"/>
        <v>0</v>
      </c>
      <c r="J37" s="4">
        <f t="shared" ref="J37" si="40">F37/2</f>
        <v>0</v>
      </c>
      <c r="K37" s="4">
        <f t="shared" ref="K37" si="41">G37/2</f>
        <v>0</v>
      </c>
      <c r="L37" s="4">
        <f t="shared" ref="L37" si="42">H37/2</f>
        <v>0</v>
      </c>
      <c r="M37" s="4">
        <f t="shared" ref="M37" si="43">I37/2</f>
        <v>0</v>
      </c>
    </row>
    <row r="38" spans="1:13" x14ac:dyDescent="0.2">
      <c r="A38" s="1">
        <v>36</v>
      </c>
      <c r="B38" s="6" t="s">
        <v>52</v>
      </c>
      <c r="C38" s="6" t="s">
        <v>52</v>
      </c>
      <c r="D38" s="3" t="s">
        <v>61</v>
      </c>
      <c r="E38" s="3" t="s">
        <v>137</v>
      </c>
      <c r="F38" s="4">
        <v>0</v>
      </c>
      <c r="G38" s="4">
        <f t="shared" si="39"/>
        <v>0</v>
      </c>
      <c r="H38" s="4">
        <f t="shared" si="39"/>
        <v>0</v>
      </c>
      <c r="I38" s="4">
        <f t="shared" si="39"/>
        <v>0</v>
      </c>
      <c r="J38" s="4">
        <f t="shared" ref="J38" si="44">F38/2</f>
        <v>0</v>
      </c>
      <c r="K38" s="4">
        <f t="shared" ref="K38" si="45">G38/2</f>
        <v>0</v>
      </c>
      <c r="L38" s="4">
        <f t="shared" ref="L38" si="46">H38/2</f>
        <v>0</v>
      </c>
      <c r="M38" s="4">
        <f t="shared" ref="M38" si="47">I38/2</f>
        <v>0</v>
      </c>
    </row>
    <row r="39" spans="1:13" x14ac:dyDescent="0.2">
      <c r="A39" s="1">
        <v>37</v>
      </c>
      <c r="B39" s="6" t="s">
        <v>53</v>
      </c>
      <c r="C39" s="6" t="s">
        <v>53</v>
      </c>
      <c r="D39" s="3" t="s">
        <v>60</v>
      </c>
      <c r="E39" s="3" t="s">
        <v>139</v>
      </c>
      <c r="F39" s="4">
        <v>0</v>
      </c>
      <c r="G39" s="4">
        <f t="shared" si="39"/>
        <v>0</v>
      </c>
      <c r="H39" s="4">
        <f t="shared" si="39"/>
        <v>0</v>
      </c>
      <c r="I39" s="4">
        <f t="shared" si="39"/>
        <v>0</v>
      </c>
      <c r="J39" s="4">
        <f t="shared" ref="J39" si="48">F39/2</f>
        <v>0</v>
      </c>
      <c r="K39" s="4">
        <f t="shared" ref="K39" si="49">G39/2</f>
        <v>0</v>
      </c>
      <c r="L39" s="4">
        <f t="shared" ref="L39" si="50">H39/2</f>
        <v>0</v>
      </c>
      <c r="M39" s="4">
        <f t="shared" ref="M39" si="51">I39/2</f>
        <v>0</v>
      </c>
    </row>
    <row r="40" spans="1:13" x14ac:dyDescent="0.2">
      <c r="A40" s="1">
        <v>38</v>
      </c>
      <c r="B40" s="6" t="s">
        <v>54</v>
      </c>
      <c r="C40" s="6" t="s">
        <v>54</v>
      </c>
      <c r="D40" s="3" t="s">
        <v>59</v>
      </c>
      <c r="E40" s="3" t="s">
        <v>138</v>
      </c>
      <c r="F40" s="4">
        <v>0</v>
      </c>
      <c r="G40" s="4">
        <f t="shared" si="39"/>
        <v>0</v>
      </c>
      <c r="H40" s="4">
        <f t="shared" si="39"/>
        <v>0</v>
      </c>
      <c r="I40" s="4">
        <f t="shared" si="39"/>
        <v>0</v>
      </c>
      <c r="J40" s="4">
        <f t="shared" ref="J40" si="52">F40/2</f>
        <v>0</v>
      </c>
      <c r="K40" s="4">
        <f t="shared" ref="K40" si="53">G40/2</f>
        <v>0</v>
      </c>
      <c r="L40" s="4">
        <f t="shared" ref="L40" si="54">H40/2</f>
        <v>0</v>
      </c>
      <c r="M40" s="4">
        <f t="shared" ref="M40" si="55">I40/2</f>
        <v>0</v>
      </c>
    </row>
    <row r="41" spans="1:13" x14ac:dyDescent="0.2">
      <c r="A41" s="1">
        <v>39</v>
      </c>
      <c r="B41" s="6" t="s">
        <v>55</v>
      </c>
      <c r="C41" s="6" t="s">
        <v>55</v>
      </c>
      <c r="D41" s="3" t="s">
        <v>62</v>
      </c>
      <c r="E41" s="3"/>
      <c r="F41" s="4">
        <v>0</v>
      </c>
      <c r="G41" s="4">
        <f t="shared" si="39"/>
        <v>0</v>
      </c>
      <c r="H41" s="4">
        <f t="shared" si="39"/>
        <v>0</v>
      </c>
      <c r="I41" s="4">
        <f t="shared" si="39"/>
        <v>0</v>
      </c>
      <c r="J41" s="4">
        <f t="shared" ref="J41" si="56">F41/2</f>
        <v>0</v>
      </c>
      <c r="K41" s="4">
        <f t="shared" ref="K41" si="57">G41/2</f>
        <v>0</v>
      </c>
      <c r="L41" s="4">
        <f t="shared" ref="L41" si="58">H41/2</f>
        <v>0</v>
      </c>
      <c r="M41" s="4">
        <f t="shared" ref="M41" si="59">I41/2</f>
        <v>0</v>
      </c>
    </row>
    <row r="42" spans="1:13" x14ac:dyDescent="0.2">
      <c r="A42" s="1">
        <v>40</v>
      </c>
      <c r="B42" s="8" t="s">
        <v>56</v>
      </c>
      <c r="C42" s="8" t="s">
        <v>56</v>
      </c>
      <c r="D42" s="3" t="s">
        <v>63</v>
      </c>
      <c r="E42" s="3"/>
      <c r="F42" s="4">
        <v>0</v>
      </c>
      <c r="G42" s="4">
        <f t="shared" si="39"/>
        <v>0</v>
      </c>
      <c r="H42" s="4">
        <f t="shared" si="39"/>
        <v>0</v>
      </c>
      <c r="I42" s="4">
        <f t="shared" si="39"/>
        <v>0</v>
      </c>
      <c r="J42" s="4">
        <f t="shared" ref="J42" si="60">F42/2</f>
        <v>0</v>
      </c>
      <c r="K42" s="4">
        <f t="shared" ref="K42" si="61">G42/2</f>
        <v>0</v>
      </c>
      <c r="L42" s="4">
        <f t="shared" ref="L42" si="62">H42/2</f>
        <v>0</v>
      </c>
      <c r="M42" s="4">
        <f t="shared" ref="M42" si="63">I42/2</f>
        <v>0</v>
      </c>
    </row>
    <row r="43" spans="1:13" x14ac:dyDescent="0.2">
      <c r="A43" s="1">
        <v>41</v>
      </c>
      <c r="B43" s="7" t="s">
        <v>57</v>
      </c>
      <c r="C43" s="7" t="s">
        <v>57</v>
      </c>
      <c r="D43" s="3" t="s">
        <v>67</v>
      </c>
      <c r="E43" s="3"/>
      <c r="F43" s="4">
        <v>0</v>
      </c>
      <c r="G43" s="4">
        <f t="shared" si="39"/>
        <v>0</v>
      </c>
      <c r="H43" s="4">
        <f t="shared" si="39"/>
        <v>0</v>
      </c>
      <c r="I43" s="4">
        <f t="shared" si="39"/>
        <v>0</v>
      </c>
      <c r="J43" s="4">
        <f t="shared" ref="J43:J45" si="64">F43/2</f>
        <v>0</v>
      </c>
      <c r="K43" s="4">
        <f t="shared" ref="K43:K45" si="65">G43/2</f>
        <v>0</v>
      </c>
      <c r="L43" s="4">
        <f t="shared" ref="L43:L45" si="66">H43/2</f>
        <v>0</v>
      </c>
      <c r="M43" s="4">
        <f t="shared" ref="M43:M45" si="67">I43/2</f>
        <v>0</v>
      </c>
    </row>
    <row r="44" spans="1:13" x14ac:dyDescent="0.2">
      <c r="A44" s="1">
        <v>42</v>
      </c>
      <c r="B44" s="7" t="s">
        <v>57</v>
      </c>
      <c r="C44" s="7" t="s">
        <v>57</v>
      </c>
      <c r="D44" s="3" t="s">
        <v>68</v>
      </c>
      <c r="E44" s="3"/>
      <c r="F44" s="4">
        <v>0</v>
      </c>
      <c r="G44" s="4">
        <f t="shared" si="39"/>
        <v>0</v>
      </c>
      <c r="H44" s="4">
        <f t="shared" si="39"/>
        <v>0</v>
      </c>
      <c r="I44" s="4">
        <f t="shared" si="39"/>
        <v>0</v>
      </c>
      <c r="J44" s="4">
        <f t="shared" si="64"/>
        <v>0</v>
      </c>
      <c r="K44" s="4">
        <f t="shared" si="65"/>
        <v>0</v>
      </c>
      <c r="L44" s="4">
        <f t="shared" si="66"/>
        <v>0</v>
      </c>
      <c r="M44" s="4">
        <f t="shared" si="67"/>
        <v>0</v>
      </c>
    </row>
    <row r="45" spans="1:13" x14ac:dyDescent="0.2">
      <c r="A45" s="1">
        <v>43</v>
      </c>
      <c r="B45" s="8" t="s">
        <v>56</v>
      </c>
      <c r="C45" s="8" t="s">
        <v>56</v>
      </c>
      <c r="D45" s="3" t="s">
        <v>66</v>
      </c>
      <c r="E45" s="3"/>
      <c r="F45" s="4">
        <v>0</v>
      </c>
      <c r="G45" s="4">
        <f t="shared" si="39"/>
        <v>0</v>
      </c>
      <c r="H45" s="4">
        <f t="shared" si="39"/>
        <v>0</v>
      </c>
      <c r="I45" s="4">
        <f t="shared" si="39"/>
        <v>0</v>
      </c>
      <c r="J45" s="4">
        <f t="shared" si="64"/>
        <v>0</v>
      </c>
      <c r="K45" s="4">
        <f t="shared" si="65"/>
        <v>0</v>
      </c>
      <c r="L45" s="4">
        <f t="shared" si="66"/>
        <v>0</v>
      </c>
      <c r="M45" s="4">
        <f t="shared" si="67"/>
        <v>0</v>
      </c>
    </row>
    <row r="46" spans="1:13" x14ac:dyDescent="0.2">
      <c r="A46" s="1">
        <v>44</v>
      </c>
      <c r="B46" s="8" t="s">
        <v>57</v>
      </c>
      <c r="C46" s="8" t="s">
        <v>57</v>
      </c>
      <c r="D46" s="3" t="s">
        <v>64</v>
      </c>
      <c r="E46" s="3"/>
      <c r="F46" s="4">
        <v>0</v>
      </c>
      <c r="G46" s="4">
        <f t="shared" si="39"/>
        <v>0</v>
      </c>
      <c r="H46" s="4">
        <f t="shared" si="39"/>
        <v>0</v>
      </c>
      <c r="I46" s="4">
        <f t="shared" si="39"/>
        <v>0</v>
      </c>
      <c r="J46" s="4">
        <f t="shared" ref="J46" si="68">F46/2</f>
        <v>0</v>
      </c>
      <c r="K46" s="4">
        <f t="shared" ref="K46" si="69">G46/2</f>
        <v>0</v>
      </c>
      <c r="L46" s="4">
        <f t="shared" ref="L46" si="70">H46/2</f>
        <v>0</v>
      </c>
      <c r="M46" s="4">
        <f t="shared" ref="M46" si="71">I46/2</f>
        <v>0</v>
      </c>
    </row>
    <row r="47" spans="1:13" x14ac:dyDescent="0.2">
      <c r="A47" s="1">
        <v>45</v>
      </c>
      <c r="B47" s="7" t="s">
        <v>56</v>
      </c>
      <c r="C47" s="7" t="s">
        <v>56</v>
      </c>
      <c r="D47" s="3" t="s">
        <v>65</v>
      </c>
      <c r="E47" s="3"/>
      <c r="F47" s="4">
        <v>0</v>
      </c>
      <c r="G47" s="4">
        <f t="shared" si="39"/>
        <v>0</v>
      </c>
      <c r="H47" s="4">
        <f t="shared" si="39"/>
        <v>0</v>
      </c>
      <c r="I47" s="4">
        <f t="shared" si="39"/>
        <v>0</v>
      </c>
      <c r="J47" s="4">
        <f t="shared" ref="J47" si="72">F47/2</f>
        <v>0</v>
      </c>
      <c r="K47" s="4">
        <f t="shared" ref="K47" si="73">G47/2</f>
        <v>0</v>
      </c>
      <c r="L47" s="4">
        <f t="shared" ref="L47" si="74">H47/2</f>
        <v>0</v>
      </c>
      <c r="M47" s="4">
        <f t="shared" ref="M47" si="75">I47/2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2026-03-05T07:48:46Z</dcterms:modified>
</cp:coreProperties>
</file>